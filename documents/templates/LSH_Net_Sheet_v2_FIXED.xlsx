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SH Net Sheet" sheetId="1" state="visible" r:id="rId1"/>
    <sheet xmlns:r="http://schemas.openxmlformats.org/officeDocument/2006/relationships" name="Robert Smith Practice" sheetId="2" state="visible" r:id="rId2"/>
    <sheet xmlns:r="http://schemas.openxmlformats.org/officeDocument/2006/relationships" name="Apex Practice (archiv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color theme="1"/>
      <sz val="11"/>
      <scheme val="minor"/>
    </font>
    <font>
      <name val="Calibri"/>
      <b val="1"/>
      <color rgb="FFFF0000"/>
      <sz val="16"/>
      <scheme val="minor"/>
    </font>
    <font>
      <name val="Calibri"/>
      <b val="1"/>
      <color rgb="FFFFFFFF"/>
      <sz val="16"/>
      <scheme val="minor"/>
    </font>
    <font>
      <name val="Calibri"/>
      <b val="1"/>
      <color rgb="FFFF9900"/>
      <sz val="12"/>
      <scheme val="minor"/>
    </font>
    <font/>
    <font>
      <name val="Calibri"/>
      <color theme="1"/>
      <scheme val="minor"/>
    </font>
    <font>
      <name val="Calibri"/>
      <b val="1"/>
      <color rgb="FFFFFFFF"/>
      <scheme val="minor"/>
    </font>
    <font>
      <name val="Calibri"/>
      <b val="1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2E4F4F"/>
        <bgColor rgb="FF2E4F4F"/>
      </patternFill>
    </fill>
    <fill>
      <patternFill patternType="solid">
        <fgColor rgb="FF2E4E4E"/>
        <bgColor rgb="FF2E4E4E"/>
      </patternFill>
    </fill>
    <fill>
      <patternFill patternType="solid">
        <fgColor rgb="00FFF2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5" fillId="0" borderId="0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4" pivotButton="0" quotePrefix="0" xfId="0"/>
    <xf numFmtId="0" fontId="5" fillId="0" borderId="1" pivotButton="0" quotePrefix="0" xfId="0"/>
    <xf numFmtId="164" fontId="5" fillId="0" borderId="4" pivotButton="0" quotePrefix="0" xfId="0"/>
    <xf numFmtId="10" fontId="5" fillId="0" borderId="1" applyAlignment="1" pivotButton="0" quotePrefix="0" xfId="0">
      <alignment horizontal="center"/>
    </xf>
    <xf numFmtId="164" fontId="5" fillId="0" borderId="4" pivotButton="0" quotePrefix="0" xfId="0"/>
    <xf numFmtId="0" fontId="5" fillId="0" borderId="1" pivotButton="0" quotePrefix="0" xfId="0"/>
    <xf numFmtId="0" fontId="7" fillId="0" borderId="1" pivotButton="0" quotePrefix="0" xfId="0"/>
    <xf numFmtId="164" fontId="7" fillId="0" borderId="4" pivotButton="0" quotePrefix="0" xfId="0"/>
    <xf numFmtId="0" fontId="6" fillId="3" borderId="4" applyAlignment="1" pivotButton="0" quotePrefix="0" xfId="0">
      <alignment horizontal="center"/>
    </xf>
    <xf numFmtId="0" fontId="6" fillId="4" borderId="4" applyAlignment="1" pivotButton="0" quotePrefix="0" xfId="0">
      <alignment horizontal="center"/>
    </xf>
    <xf numFmtId="0" fontId="6" fillId="2" borderId="1" pivotButton="0" quotePrefix="0" xfId="0"/>
    <xf numFmtId="0" fontId="6" fillId="2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3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10" fontId="5" fillId="0" borderId="4" applyAlignment="1" pivotButton="0" quotePrefix="0" xfId="0">
      <alignment horizontal="center"/>
    </xf>
    <xf numFmtId="0" fontId="7" fillId="0" borderId="4" pivotButton="0" quotePrefix="0" xfId="0"/>
    <xf numFmtId="0" fontId="6" fillId="2" borderId="4" pivotButton="0" quotePrefix="0" xfId="0"/>
    <xf numFmtId="164" fontId="5" fillId="5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G52"/>
  <sheetViews>
    <sheetView showGridLines="0" workbookViewId="0">
      <selection activeCell="A1" sqref="A1"/>
    </sheetView>
  </sheetViews>
  <sheetFormatPr baseColWidth="8" defaultColWidth="14.43" defaultRowHeight="15" customHeight="1"/>
  <cols>
    <col width="3.14" customWidth="1" style="23" min="1" max="1"/>
    <col width="30.86" customWidth="1" style="23" min="2" max="2"/>
    <col width="31.14" customWidth="1" style="23" min="3" max="8"/>
    <col width="21.57" customWidth="1" style="23" min="9" max="11"/>
    <col width="44.43" customWidth="1" style="23" min="12" max="12"/>
  </cols>
  <sheetData>
    <row r="1">
      <c r="B1" s="1" t="n"/>
      <c r="C1" s="1" t="inlineStr">
        <is>
          <t xml:space="preserve"> Please make a copy. Do not write on this file!  (v2: attorney-fee formula fixed — L11 now = L7*C11)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B2" s="3" t="n"/>
    </row>
    <row r="3"/>
    <row r="5">
      <c r="B5" s="24" t="inlineStr">
        <is>
          <t>1. SETTLEMENT RECOVERY SUMMARY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6" t="n"/>
    </row>
    <row r="6">
      <c r="A6" s="7" t="n"/>
      <c r="B6" s="8" t="inlineStr">
        <is>
          <t>Description</t>
        </is>
      </c>
      <c r="C6" s="8" t="inlineStr">
        <is>
          <t>Reference</t>
        </is>
      </c>
      <c r="D6" s="25" t="n"/>
      <c r="E6" s="25" t="n"/>
      <c r="F6" s="25" t="n"/>
      <c r="G6" s="25" t="n"/>
      <c r="H6" s="25" t="n"/>
      <c r="I6" s="25" t="n"/>
      <c r="J6" s="25" t="n"/>
      <c r="K6" s="26" t="n"/>
      <c r="L6" s="8" t="inlineStr">
        <is>
          <t>Amount</t>
        </is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</row>
    <row r="7">
      <c r="B7" s="22" t="inlineStr">
        <is>
          <t>Gross Settlement</t>
        </is>
      </c>
      <c r="C7" s="22" t="inlineStr">
        <is>
          <t>Progressive Corporation</t>
        </is>
      </c>
      <c r="D7" s="25" t="n"/>
      <c r="E7" s="25" t="n"/>
      <c r="F7" s="25" t="n"/>
      <c r="G7" s="25" t="n"/>
      <c r="H7" s="25" t="n"/>
      <c r="I7" s="25" t="n"/>
      <c r="J7" s="25" t="n"/>
      <c r="K7" s="26" t="n"/>
      <c r="L7" s="14" t="n">
        <v>0</v>
      </c>
    </row>
    <row r="9">
      <c r="B9" s="24" t="inlineStr">
        <is>
          <t>2. ATTORNEY FEES &amp; ADVANCED CASE EXPENSES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6" t="n"/>
    </row>
    <row r="10">
      <c r="A10" s="7" t="n"/>
      <c r="B10" s="8" t="inlineStr">
        <is>
          <t>Expense Type</t>
        </is>
      </c>
      <c r="C10" s="8" t="inlineStr">
        <is>
          <t>Details</t>
        </is>
      </c>
      <c r="D10" s="25" t="n"/>
      <c r="E10" s="25" t="n"/>
      <c r="F10" s="25" t="n"/>
      <c r="G10" s="25" t="n"/>
      <c r="H10" s="25" t="n"/>
      <c r="I10" s="25" t="n"/>
      <c r="J10" s="25" t="n"/>
      <c r="K10" s="26" t="n"/>
      <c r="L10" s="8" t="inlineStr">
        <is>
          <t>Amount</t>
        </is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</row>
    <row r="11">
      <c r="B11" s="22" t="inlineStr">
        <is>
          <t>Attorney Fees</t>
        </is>
      </c>
      <c r="C11" s="27" t="n">
        <v>0.3333</v>
      </c>
      <c r="D11" s="25" t="n"/>
      <c r="E11" s="25" t="n"/>
      <c r="F11" s="25" t="n"/>
      <c r="G11" s="25" t="n"/>
      <c r="H11" s="25" t="n"/>
      <c r="I11" s="25" t="n"/>
      <c r="J11" s="25" t="n"/>
      <c r="K11" s="26" t="n"/>
      <c r="L11" s="14">
        <f>L7*C11</f>
        <v/>
      </c>
    </row>
    <row r="12">
      <c r="B12" s="22" t="inlineStr">
        <is>
          <t>Filing fees &amp; Summons</t>
        </is>
      </c>
      <c r="C12" s="22" t="n"/>
      <c r="D12" s="25" t="n"/>
      <c r="E12" s="25" t="n"/>
      <c r="F12" s="25" t="n"/>
      <c r="G12" s="25" t="n"/>
      <c r="H12" s="25" t="n"/>
      <c r="I12" s="25" t="n"/>
      <c r="J12" s="25" t="n"/>
      <c r="K12" s="26" t="n"/>
      <c r="L12" s="14" t="n">
        <v>0</v>
      </c>
    </row>
    <row r="13">
      <c r="B13" s="22" t="inlineStr">
        <is>
          <t>Process Server</t>
        </is>
      </c>
      <c r="C13" s="22" t="n"/>
      <c r="D13" s="25" t="n"/>
      <c r="E13" s="25" t="n"/>
      <c r="F13" s="25" t="n"/>
      <c r="G13" s="25" t="n"/>
      <c r="H13" s="25" t="n"/>
      <c r="I13" s="25" t="n"/>
      <c r="J13" s="25" t="n"/>
      <c r="K13" s="26" t="n"/>
      <c r="L13" s="14" t="n">
        <v>0</v>
      </c>
    </row>
    <row r="14">
      <c r="B14" s="22" t="inlineStr">
        <is>
          <t>Mediation</t>
        </is>
      </c>
      <c r="C14" s="22" t="n"/>
      <c r="D14" s="25" t="n"/>
      <c r="E14" s="25" t="n"/>
      <c r="F14" s="25" t="n"/>
      <c r="G14" s="25" t="n"/>
      <c r="H14" s="25" t="n"/>
      <c r="I14" s="25" t="n"/>
      <c r="J14" s="25" t="n"/>
      <c r="K14" s="26" t="n"/>
      <c r="L14" s="14" t="n">
        <v>0</v>
      </c>
    </row>
    <row r="15">
      <c r="B15" s="22" t="inlineStr">
        <is>
          <t>CME Videographer</t>
        </is>
      </c>
      <c r="C15" s="22" t="n"/>
      <c r="D15" s="25" t="n"/>
      <c r="E15" s="25" t="n"/>
      <c r="F15" s="25" t="n"/>
      <c r="G15" s="25" t="n"/>
      <c r="H15" s="25" t="n"/>
      <c r="I15" s="25" t="n"/>
      <c r="J15" s="25" t="n"/>
      <c r="K15" s="26" t="n"/>
      <c r="L15" s="14" t="n">
        <v>0</v>
      </c>
    </row>
    <row r="16">
      <c r="B16" s="22" t="inlineStr">
        <is>
          <t>Deposition</t>
        </is>
      </c>
      <c r="C16" s="22" t="n"/>
      <c r="D16" s="25" t="n"/>
      <c r="E16" s="25" t="n"/>
      <c r="F16" s="25" t="n"/>
      <c r="G16" s="25" t="n"/>
      <c r="H16" s="25" t="n"/>
      <c r="I16" s="25" t="n"/>
      <c r="J16" s="25" t="n"/>
      <c r="K16" s="26" t="n"/>
      <c r="L16" s="14" t="n">
        <v>0</v>
      </c>
    </row>
    <row r="17">
      <c r="B17" s="22" t="inlineStr">
        <is>
          <t>Postage</t>
        </is>
      </c>
      <c r="C17" s="22" t="n"/>
      <c r="D17" s="25" t="n"/>
      <c r="E17" s="25" t="n"/>
      <c r="F17" s="25" t="n"/>
      <c r="G17" s="25" t="n"/>
      <c r="H17" s="25" t="n"/>
      <c r="I17" s="25" t="n"/>
      <c r="J17" s="25" t="n"/>
      <c r="K17" s="26" t="n"/>
      <c r="L17" s="14" t="n">
        <v>0</v>
      </c>
    </row>
    <row r="18">
      <c r="B18" s="22" t="inlineStr">
        <is>
          <t>Medical records/bills req.</t>
        </is>
      </c>
      <c r="C18" s="22" t="n"/>
      <c r="D18" s="25" t="n"/>
      <c r="E18" s="25" t="n"/>
      <c r="F18" s="25" t="n"/>
      <c r="G18" s="25" t="n"/>
      <c r="H18" s="25" t="n"/>
      <c r="I18" s="25" t="n"/>
      <c r="J18" s="25" t="n"/>
      <c r="K18" s="26" t="n"/>
      <c r="L18" s="14" t="n">
        <v>0</v>
      </c>
    </row>
    <row r="19">
      <c r="B19" s="22" t="inlineStr">
        <is>
          <t>File Storage fee</t>
        </is>
      </c>
      <c r="C19" s="22" t="n"/>
      <c r="D19" s="25" t="n"/>
      <c r="E19" s="25" t="n"/>
      <c r="F19" s="25" t="n"/>
      <c r="G19" s="25" t="n"/>
      <c r="H19" s="25" t="n"/>
      <c r="I19" s="25" t="n"/>
      <c r="J19" s="25" t="n"/>
      <c r="K19" s="26" t="n"/>
      <c r="L19" s="14" t="n">
        <v>0</v>
      </c>
    </row>
    <row r="20">
      <c r="B20" s="28" t="inlineStr">
        <is>
          <t>Total Attorney Costs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6" t="n"/>
      <c r="L20" s="17">
        <f>SUM(L12:L19)</f>
        <v/>
      </c>
    </row>
    <row r="21">
      <c r="B21" s="28" t="inlineStr">
        <is>
          <t>Total Fees &amp; Costs</t>
        </is>
      </c>
      <c r="C21" s="25" t="n"/>
      <c r="D21" s="25" t="n"/>
      <c r="E21" s="25" t="n"/>
      <c r="F21" s="25" t="n"/>
      <c r="G21" s="25" t="n"/>
      <c r="H21" s="25" t="n"/>
      <c r="I21" s="25" t="n"/>
      <c r="J21" s="25" t="n"/>
      <c r="K21" s="26" t="n"/>
      <c r="L21" s="17">
        <f>L11+L20</f>
        <v/>
      </c>
    </row>
    <row r="23">
      <c r="B23" s="24" t="inlineStr">
        <is>
          <t>3. MEDICAL PROVIDER LEDGER &amp; LIEN REDUCTIONS</t>
        </is>
      </c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6" t="n"/>
    </row>
    <row r="24">
      <c r="A24" s="7" t="n"/>
      <c r="B24" s="8" t="inlineStr">
        <is>
          <t>Provider Type</t>
        </is>
      </c>
      <c r="C24" s="8" t="inlineStr">
        <is>
          <t>Provider Name</t>
        </is>
      </c>
      <c r="D24" s="18" t="inlineStr">
        <is>
          <t>Total Charges</t>
        </is>
      </c>
      <c r="E24" s="8" t="inlineStr">
        <is>
          <t>PIP Payments</t>
        </is>
      </c>
      <c r="F24" s="8" t="inlineStr">
        <is>
          <t>Health Payments</t>
        </is>
      </c>
      <c r="G24" s="8" t="inlineStr">
        <is>
          <t>Med Pay</t>
        </is>
      </c>
      <c r="H24" s="8" t="inlineStr">
        <is>
          <t>Adjustments</t>
        </is>
      </c>
      <c r="I24" s="8" t="inlineStr">
        <is>
          <t>Balance Owed</t>
        </is>
      </c>
      <c r="J24" s="19" t="inlineStr">
        <is>
          <t>Max Offer</t>
        </is>
      </c>
      <c r="K24" s="19" t="inlineStr">
        <is>
          <t>Low Offer</t>
        </is>
      </c>
      <c r="L24" s="8" t="inlineStr">
        <is>
          <t>Reduced Bill</t>
        </is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</row>
    <row r="25">
      <c r="B25" s="22" t="inlineStr">
        <is>
          <t>Chiro</t>
        </is>
      </c>
      <c r="C25" s="22" t="n"/>
      <c r="D25" s="14" t="n"/>
      <c r="E25" s="14" t="n"/>
      <c r="F25" s="14" t="n"/>
      <c r="G25" s="14" t="n"/>
      <c r="H25" s="14" t="n"/>
      <c r="I25" s="14">
        <f>D25-E25-F25-G25-H25</f>
        <v/>
      </c>
      <c r="J25" s="14" t="n"/>
      <c r="K25" s="14" t="n"/>
      <c r="L25" s="14" t="n">
        <v>0</v>
      </c>
    </row>
    <row r="26">
      <c r="B26" s="22" t="inlineStr">
        <is>
          <t>PT</t>
        </is>
      </c>
      <c r="C26" s="22" t="n"/>
      <c r="D26" s="14" t="n"/>
      <c r="E26" s="14" t="n"/>
      <c r="F26" s="14" t="n"/>
      <c r="G26" s="14" t="n"/>
      <c r="H26" s="14" t="n"/>
      <c r="I26" s="14">
        <f>D26-E26-F26-G26-H26</f>
        <v/>
      </c>
      <c r="J26" s="14" t="n"/>
      <c r="K26" s="14" t="n"/>
      <c r="L26" s="14" t="n">
        <v>0</v>
      </c>
    </row>
    <row r="27">
      <c r="B27" s="22" t="inlineStr">
        <is>
          <t>MRI</t>
        </is>
      </c>
      <c r="C27" s="22" t="n"/>
      <c r="D27" s="14" t="n"/>
      <c r="E27" s="14" t="n"/>
      <c r="F27" s="14" t="n"/>
      <c r="G27" s="14" t="n"/>
      <c r="H27" s="14" t="n"/>
      <c r="I27" s="14">
        <f>D27-E27-F27-G27-H27</f>
        <v/>
      </c>
      <c r="J27" s="14" t="n"/>
      <c r="K27" s="14" t="n"/>
      <c r="L27" s="14" t="n">
        <v>0</v>
      </c>
    </row>
    <row r="28">
      <c r="B28" s="22" t="inlineStr">
        <is>
          <t>Orthopedic</t>
        </is>
      </c>
      <c r="C28" s="22" t="n"/>
      <c r="D28" s="14" t="n"/>
      <c r="E28" s="14" t="n"/>
      <c r="F28" s="14" t="n"/>
      <c r="G28" s="14" t="n"/>
      <c r="H28" s="14" t="n"/>
      <c r="I28" s="14">
        <f>D28-E28-F28-G28-H28</f>
        <v/>
      </c>
      <c r="J28" s="14" t="n"/>
      <c r="K28" s="14" t="n"/>
      <c r="L28" s="14" t="n">
        <v>0</v>
      </c>
    </row>
    <row r="29">
      <c r="B29" s="22" t="n"/>
      <c r="C29" s="22" t="n"/>
      <c r="D29" s="14" t="n"/>
      <c r="E29" s="14" t="n"/>
      <c r="F29" s="14" t="n"/>
      <c r="G29" s="14" t="n"/>
      <c r="H29" s="14" t="n"/>
      <c r="I29" s="14">
        <f>D29-E29-F29-G29-H29</f>
        <v/>
      </c>
      <c r="J29" s="14" t="n"/>
      <c r="K29" s="14" t="n"/>
      <c r="L29" s="14" t="n">
        <v>0</v>
      </c>
    </row>
    <row r="30">
      <c r="B30" s="22" t="n"/>
      <c r="C30" s="22" t="n"/>
      <c r="D30" s="14" t="n"/>
      <c r="E30" s="14" t="n"/>
      <c r="F30" s="14" t="n"/>
      <c r="G30" s="14" t="n"/>
      <c r="H30" s="14" t="n"/>
      <c r="I30" s="14">
        <f>D30-E30-F30-G30-H30</f>
        <v/>
      </c>
      <c r="J30" s="14" t="n"/>
      <c r="K30" s="14" t="n"/>
      <c r="L30" s="14" t="n">
        <v>0</v>
      </c>
    </row>
    <row r="31">
      <c r="B31" s="22" t="n"/>
      <c r="C31" s="22" t="n"/>
      <c r="D31" s="14" t="n"/>
      <c r="E31" s="14" t="n"/>
      <c r="F31" s="14" t="n"/>
      <c r="G31" s="14" t="n"/>
      <c r="H31" s="14" t="n"/>
      <c r="I31" s="14">
        <f>D31-E31-F31-G31-H31</f>
        <v/>
      </c>
      <c r="J31" s="14" t="n"/>
      <c r="K31" s="14" t="n"/>
      <c r="L31" s="14" t="n">
        <v>0</v>
      </c>
    </row>
    <row r="32">
      <c r="B32" s="22" t="n"/>
      <c r="C32" s="22" t="n"/>
      <c r="D32" s="14" t="n"/>
      <c r="E32" s="14" t="n"/>
      <c r="F32" s="14" t="n"/>
      <c r="G32" s="14" t="n"/>
      <c r="H32" s="14" t="n"/>
      <c r="I32" s="14">
        <f>D32-E32-F32-G32-H32</f>
        <v/>
      </c>
      <c r="J32" s="14" t="n"/>
      <c r="K32" s="14" t="n"/>
      <c r="L32" s="14" t="n">
        <v>0</v>
      </c>
    </row>
    <row r="33">
      <c r="B33" s="22" t="n"/>
      <c r="C33" s="22" t="n"/>
      <c r="D33" s="14" t="n"/>
      <c r="E33" s="14" t="n"/>
      <c r="F33" s="14" t="n"/>
      <c r="G33" s="14" t="n"/>
      <c r="H33" s="14" t="n"/>
      <c r="I33" s="14">
        <f>D33-E33-F33-G33-H33</f>
        <v/>
      </c>
      <c r="J33" s="14" t="n"/>
      <c r="K33" s="14" t="n"/>
      <c r="L33" s="14" t="n">
        <v>0</v>
      </c>
    </row>
    <row r="34">
      <c r="B34" s="22" t="n"/>
      <c r="C34" s="22" t="n"/>
      <c r="D34" s="14" t="n"/>
      <c r="E34" s="14" t="n"/>
      <c r="F34" s="14" t="n"/>
      <c r="G34" s="14" t="n"/>
      <c r="H34" s="14" t="n"/>
      <c r="I34" s="14">
        <f>D34-E34-F34-G34-H34</f>
        <v/>
      </c>
      <c r="J34" s="14" t="n"/>
      <c r="K34" s="14" t="n"/>
      <c r="L34" s="14" t="n">
        <v>0</v>
      </c>
    </row>
    <row r="35">
      <c r="B35" s="22" t="n"/>
      <c r="C35" s="22" t="n"/>
      <c r="D35" s="14" t="n"/>
      <c r="E35" s="14" t="n"/>
      <c r="F35" s="14" t="n"/>
      <c r="G35" s="14" t="n"/>
      <c r="H35" s="14" t="n"/>
      <c r="I35" s="14">
        <f>D35-E35-F35-G35-H35</f>
        <v/>
      </c>
      <c r="J35" s="14" t="n"/>
      <c r="K35" s="14" t="n"/>
      <c r="L35" s="14" t="n">
        <v>0</v>
      </c>
    </row>
    <row r="36">
      <c r="B36" s="22" t="n"/>
      <c r="C36" s="22" t="n"/>
      <c r="D36" s="14" t="n"/>
      <c r="E36" s="14" t="n"/>
      <c r="F36" s="14" t="n"/>
      <c r="G36" s="14" t="n"/>
      <c r="H36" s="14" t="n"/>
      <c r="I36" s="14">
        <f>D36-E36-F36-G36-H36</f>
        <v/>
      </c>
      <c r="J36" s="14" t="n"/>
      <c r="K36" s="14" t="n"/>
      <c r="L36" s="14" t="n">
        <v>0</v>
      </c>
    </row>
    <row r="37">
      <c r="B37" s="22" t="n"/>
      <c r="C37" s="22" t="n"/>
      <c r="D37" s="14" t="n"/>
      <c r="E37" s="14" t="n"/>
      <c r="F37" s="14" t="n"/>
      <c r="G37" s="14" t="n"/>
      <c r="H37" s="14" t="n"/>
      <c r="I37" s="14">
        <f>D37-E37-F37-G37-H37</f>
        <v/>
      </c>
      <c r="J37" s="14" t="n"/>
      <c r="K37" s="14" t="n"/>
      <c r="L37" s="14" t="n">
        <v>0</v>
      </c>
    </row>
    <row r="38">
      <c r="B38" s="22" t="n"/>
      <c r="C38" s="22" t="n"/>
      <c r="D38" s="14" t="n"/>
      <c r="E38" s="14" t="n"/>
      <c r="F38" s="14" t="n"/>
      <c r="G38" s="14" t="n"/>
      <c r="H38" s="14" t="n"/>
      <c r="I38" s="14">
        <f>D38-E38-F38-G38-H38</f>
        <v/>
      </c>
      <c r="J38" s="14" t="n"/>
      <c r="K38" s="14" t="n"/>
      <c r="L38" s="14" t="n">
        <v>0</v>
      </c>
    </row>
    <row r="39">
      <c r="B39" s="22" t="n"/>
      <c r="C39" s="22" t="n"/>
      <c r="D39" s="14" t="n"/>
      <c r="E39" s="14" t="n"/>
      <c r="F39" s="14" t="n"/>
      <c r="G39" s="14" t="n"/>
      <c r="H39" s="14" t="n"/>
      <c r="I39" s="14">
        <f>D39-E39-F39-G39-H39</f>
        <v/>
      </c>
      <c r="J39" s="14" t="n"/>
      <c r="K39" s="14" t="n"/>
      <c r="L39" s="14" t="n">
        <v>0</v>
      </c>
    </row>
    <row r="40">
      <c r="B40" s="22" t="n"/>
      <c r="C40" s="22" t="n"/>
      <c r="D40" s="14" t="n"/>
      <c r="E40" s="14" t="n"/>
      <c r="F40" s="14" t="n"/>
      <c r="G40" s="14" t="n"/>
      <c r="H40" s="14" t="n"/>
      <c r="I40" s="14">
        <f>D40-E40-F40-G40-H40</f>
        <v/>
      </c>
      <c r="J40" s="14" t="n"/>
      <c r="K40" s="14" t="n"/>
      <c r="L40" s="14" t="n">
        <v>0</v>
      </c>
    </row>
    <row r="41">
      <c r="B41" s="29" t="n"/>
      <c r="C41" s="25" t="n"/>
      <c r="D41" s="25" t="n"/>
      <c r="E41" s="25" t="n"/>
      <c r="F41" s="25" t="n"/>
      <c r="G41" s="26" t="n"/>
      <c r="H41" s="21" t="n"/>
      <c r="I41" s="21" t="n"/>
      <c r="J41" s="21" t="n"/>
      <c r="K41" s="21" t="n"/>
      <c r="L41" s="21" t="n"/>
    </row>
    <row r="42">
      <c r="B42" s="22" t="inlineStr">
        <is>
          <t>Pre-Settlement Funding</t>
        </is>
      </c>
      <c r="C42" s="22" t="n"/>
      <c r="D42" s="14" t="n"/>
      <c r="E42" s="14" t="n"/>
      <c r="F42" s="14" t="n"/>
      <c r="G42" s="14" t="n"/>
      <c r="H42" s="14" t="n"/>
      <c r="I42" s="14">
        <f>D42-E42-F42-G42-H42</f>
        <v/>
      </c>
      <c r="J42" s="14" t="n"/>
      <c r="K42" s="14" t="n"/>
      <c r="L42" s="14" t="n">
        <v>0</v>
      </c>
    </row>
    <row r="43">
      <c r="B43" s="22" t="inlineStr">
        <is>
          <t>Prior Attorney</t>
        </is>
      </c>
      <c r="C43" s="22" t="n"/>
      <c r="D43" s="14" t="n"/>
      <c r="E43" s="14" t="n"/>
      <c r="F43" s="14" t="n"/>
      <c r="G43" s="14" t="n"/>
      <c r="H43" s="14" t="n"/>
      <c r="I43" s="14">
        <f>D43-E43-F43-G43-H43</f>
        <v/>
      </c>
      <c r="J43" s="14" t="n"/>
      <c r="K43" s="14" t="n"/>
      <c r="L43" s="14" t="n">
        <v>0</v>
      </c>
    </row>
    <row r="44">
      <c r="B44" s="28" t="inlineStr">
        <is>
          <t>Total Liens &amp; Reductions</t>
        </is>
      </c>
      <c r="C44" s="25" t="n"/>
      <c r="D44" s="25" t="n"/>
      <c r="E44" s="25" t="n"/>
      <c r="F44" s="25" t="n"/>
      <c r="G44" s="25" t="n"/>
      <c r="H44" s="26" t="n"/>
      <c r="I44" s="17">
        <f>SUM(I25:I43)</f>
        <v/>
      </c>
      <c r="J44" s="17">
        <f>SUM(J25:J43)</f>
        <v/>
      </c>
      <c r="K44" s="17">
        <f>SUM(K25:K43)</f>
        <v/>
      </c>
      <c r="L44" s="17">
        <f>SUM(L25:L43)</f>
        <v/>
      </c>
    </row>
    <row r="46">
      <c r="B46" s="24" t="inlineStr">
        <is>
          <t>4. FINAL CLIENT DISBURSEMENT CALCULATION</t>
        </is>
      </c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6" t="n"/>
    </row>
    <row r="47">
      <c r="A47" s="7" t="n"/>
      <c r="B47" s="8" t="inlineStr">
        <is>
          <t>Calculation</t>
        </is>
      </c>
      <c r="C47" s="25" t="n"/>
      <c r="D47" s="25" t="n"/>
      <c r="E47" s="25" t="n"/>
      <c r="F47" s="25" t="n"/>
      <c r="G47" s="25" t="n"/>
      <c r="H47" s="25" t="n"/>
      <c r="I47" s="25" t="n"/>
      <c r="J47" s="25" t="n"/>
      <c r="K47" s="26" t="n"/>
      <c r="L47" s="8" t="inlineStr">
        <is>
          <t>Amount</t>
        </is>
      </c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</row>
    <row r="48">
      <c r="B48" s="22" t="inlineStr">
        <is>
          <t>Gross Settlement</t>
        </is>
      </c>
      <c r="C48" s="25" t="n"/>
      <c r="D48" s="25" t="n"/>
      <c r="E48" s="25" t="n"/>
      <c r="F48" s="25" t="n"/>
      <c r="G48" s="25" t="n"/>
      <c r="H48" s="25" t="n"/>
      <c r="I48" s="25" t="n"/>
      <c r="J48" s="25" t="n"/>
      <c r="K48" s="26" t="n"/>
      <c r="L48" s="14">
        <f>L7</f>
        <v/>
      </c>
    </row>
    <row r="49">
      <c r="B49" s="22" t="inlineStr">
        <is>
          <t>Less: Attorney Fees</t>
        </is>
      </c>
      <c r="C49" s="25" t="n"/>
      <c r="D49" s="25" t="n"/>
      <c r="E49" s="25" t="n"/>
      <c r="F49" s="25" t="n"/>
      <c r="G49" s="25" t="n"/>
      <c r="H49" s="25" t="n"/>
      <c r="I49" s="25" t="n"/>
      <c r="J49" s="25" t="n"/>
      <c r="K49" s="26" t="n"/>
      <c r="L49" s="14">
        <f>-L11</f>
        <v/>
      </c>
    </row>
    <row r="50">
      <c r="B50" s="22" t="inlineStr">
        <is>
          <t>Less: Advanced Case Expenses</t>
        </is>
      </c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  <c r="L50" s="14">
        <f>-L20</f>
        <v/>
      </c>
    </row>
    <row r="51">
      <c r="B51" s="22" t="inlineStr">
        <is>
          <t>Less: Total Liens (Reduced)</t>
        </is>
      </c>
      <c r="C51" s="25" t="n"/>
      <c r="D51" s="25" t="n"/>
      <c r="E51" s="25" t="n"/>
      <c r="F51" s="25" t="n"/>
      <c r="G51" s="25" t="n"/>
      <c r="H51" s="25" t="n"/>
      <c r="I51" s="25" t="n"/>
      <c r="J51" s="25" t="n"/>
      <c r="K51" s="26" t="n"/>
      <c r="L51" s="14">
        <f>-L44</f>
        <v/>
      </c>
    </row>
    <row r="52">
      <c r="B52" s="28" t="inlineStr">
        <is>
          <t>NET CLIENT DISBURSEMENT</t>
        </is>
      </c>
      <c r="C52" s="25" t="n"/>
      <c r="D52" s="25" t="n"/>
      <c r="E52" s="25" t="n"/>
      <c r="F52" s="25" t="n"/>
      <c r="G52" s="25" t="n"/>
      <c r="H52" s="25" t="n"/>
      <c r="I52" s="25" t="n"/>
      <c r="J52" s="25" t="n"/>
      <c r="K52" s="26" t="n"/>
      <c r="L52" s="17">
        <f>SUM(L48:L51)</f>
        <v/>
      </c>
    </row>
  </sheetData>
  <mergeCells count="27">
    <mergeCell ref="C16:K16"/>
    <mergeCell ref="B49:K49"/>
    <mergeCell ref="C10:K10"/>
    <mergeCell ref="B46:L46"/>
    <mergeCell ref="B51:K51"/>
    <mergeCell ref="B20:K20"/>
    <mergeCell ref="C12:K12"/>
    <mergeCell ref="C11:K11"/>
    <mergeCell ref="B50:K50"/>
    <mergeCell ref="C17:K17"/>
    <mergeCell ref="B47:K47"/>
    <mergeCell ref="B23:L23"/>
    <mergeCell ref="C7:K7"/>
    <mergeCell ref="C19:K19"/>
    <mergeCell ref="B52:K52"/>
    <mergeCell ref="C13:K13"/>
    <mergeCell ref="B21:K21"/>
    <mergeCell ref="C18:K18"/>
    <mergeCell ref="B41:G41"/>
    <mergeCell ref="B48:K48"/>
    <mergeCell ref="B9:L9"/>
    <mergeCell ref="C6:K6"/>
    <mergeCell ref="C15:K15"/>
    <mergeCell ref="B44:H44"/>
    <mergeCell ref="C14:K14"/>
    <mergeCell ref="B5:L5"/>
    <mergeCell ref="B2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G52"/>
  <sheetViews>
    <sheetView workbookViewId="0">
      <selection activeCell="A1" sqref="A1"/>
    </sheetView>
  </sheetViews>
  <sheetFormatPr baseColWidth="8" defaultColWidth="14.43" defaultRowHeight="15" customHeight="1"/>
  <cols>
    <col width="3.14" customWidth="1" style="23" min="1" max="1"/>
    <col width="30.86" customWidth="1" style="23" min="2" max="2"/>
    <col width="31.14" customWidth="1" style="23" min="3" max="8"/>
    <col width="21.57" customWidth="1" style="23" min="9" max="11"/>
    <col width="44.43" customWidth="1" style="23" min="12" max="12"/>
  </cols>
  <sheetData>
    <row r="1">
      <c r="B1" s="1" t="n"/>
      <c r="C1" s="1" t="inlineStr">
        <is>
          <t xml:space="preserve"> PRACTICE — John Doe v. Robert Smith (Track A: all three layers paid at limits). Fill the yellow cells; verify every figure against the source documents (RS22–RS26, RS31, RS41, RS42, RS44).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B2" s="3" t="n"/>
    </row>
    <row r="3"/>
    <row r="5">
      <c r="B5" s="24" t="inlineStr">
        <is>
          <t>1. SETTLEMENT RECOVERY SUMMARY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6" t="n"/>
    </row>
    <row r="6">
      <c r="A6" s="7" t="n"/>
      <c r="B6" s="8" t="inlineStr">
        <is>
          <t>Description</t>
        </is>
      </c>
      <c r="C6" s="8" t="inlineStr">
        <is>
          <t>Reference</t>
        </is>
      </c>
      <c r="D6" s="25" t="n"/>
      <c r="E6" s="25" t="n"/>
      <c r="F6" s="25" t="n"/>
      <c r="G6" s="25" t="n"/>
      <c r="H6" s="25" t="n"/>
      <c r="I6" s="25" t="n"/>
      <c r="J6" s="25" t="n"/>
      <c r="K6" s="26" t="n"/>
      <c r="L6" s="8" t="inlineStr">
        <is>
          <t>Amount</t>
        </is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</row>
    <row r="7">
      <c r="B7" s="22" t="inlineStr">
        <is>
          <t>Gross Settlement</t>
        </is>
      </c>
      <c r="C7" s="22" t="inlineStr">
        <is>
          <t>Keystone BI $10,000 (KM-26-440871) + Harbor Point UM $20,000 (HP-26-7741) + Cardinal State UM $10,000 (CS-26-20355)</t>
        </is>
      </c>
      <c r="D7" s="25" t="n"/>
      <c r="E7" s="25" t="n"/>
      <c r="F7" s="25" t="n"/>
      <c r="G7" s="25" t="n"/>
      <c r="H7" s="25" t="n"/>
      <c r="I7" s="25" t="n"/>
      <c r="J7" s="25" t="n"/>
      <c r="K7" s="26" t="n"/>
      <c r="L7" s="14" t="n">
        <v>40000</v>
      </c>
    </row>
    <row r="9">
      <c r="B9" s="24" t="inlineStr">
        <is>
          <t>2. ATTORNEY FEES &amp; ADVANCED CASE EXPENSES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6" t="n"/>
    </row>
    <row r="10">
      <c r="A10" s="7" t="n"/>
      <c r="B10" s="8" t="inlineStr">
        <is>
          <t>Expense Type</t>
        </is>
      </c>
      <c r="C10" s="8" t="inlineStr">
        <is>
          <t>Details</t>
        </is>
      </c>
      <c r="D10" s="25" t="n"/>
      <c r="E10" s="25" t="n"/>
      <c r="F10" s="25" t="n"/>
      <c r="G10" s="25" t="n"/>
      <c r="H10" s="25" t="n"/>
      <c r="I10" s="25" t="n"/>
      <c r="J10" s="25" t="n"/>
      <c r="K10" s="26" t="n"/>
      <c r="L10" s="8" t="inlineStr">
        <is>
          <t>Amount</t>
        </is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</row>
    <row r="11">
      <c r="B11" s="22" t="inlineStr">
        <is>
          <t>Attorney Fees</t>
        </is>
      </c>
      <c r="C11" s="27" t="n">
        <v>0.3333333333333333</v>
      </c>
      <c r="D11" s="25" t="n"/>
      <c r="E11" s="25" t="n"/>
      <c r="F11" s="25" t="n"/>
      <c r="G11" s="25" t="n"/>
      <c r="H11" s="25" t="n"/>
      <c r="I11" s="25" t="n"/>
      <c r="J11" s="25" t="n"/>
      <c r="K11" s="26" t="n"/>
      <c r="L11" s="14">
        <f>L7*C11</f>
        <v/>
      </c>
    </row>
    <row r="12">
      <c r="B12" s="22" t="inlineStr">
        <is>
          <t>Filing fees &amp; Summons</t>
        </is>
      </c>
      <c r="C12" s="22" t="n"/>
      <c r="D12" s="25" t="n"/>
      <c r="E12" s="25" t="n"/>
      <c r="F12" s="25" t="n"/>
      <c r="G12" s="25" t="n"/>
      <c r="H12" s="25" t="n"/>
      <c r="I12" s="25" t="n"/>
      <c r="J12" s="25" t="n"/>
      <c r="K12" s="26" t="n"/>
      <c r="L12" s="14" t="n">
        <v>0</v>
      </c>
    </row>
    <row r="13">
      <c r="B13" s="22" t="inlineStr">
        <is>
          <t>Process Server</t>
        </is>
      </c>
      <c r="C13" s="22" t="n"/>
      <c r="D13" s="25" t="n"/>
      <c r="E13" s="25" t="n"/>
      <c r="F13" s="25" t="n"/>
      <c r="G13" s="25" t="n"/>
      <c r="H13" s="25" t="n"/>
      <c r="I13" s="25" t="n"/>
      <c r="J13" s="25" t="n"/>
      <c r="K13" s="26" t="n"/>
      <c r="L13" s="14" t="n">
        <v>0</v>
      </c>
    </row>
    <row r="14">
      <c r="B14" s="22" t="inlineStr">
        <is>
          <t>Mediation</t>
        </is>
      </c>
      <c r="C14" s="22" t="n"/>
      <c r="D14" s="25" t="n"/>
      <c r="E14" s="25" t="n"/>
      <c r="F14" s="25" t="n"/>
      <c r="G14" s="25" t="n"/>
      <c r="H14" s="25" t="n"/>
      <c r="I14" s="25" t="n"/>
      <c r="J14" s="25" t="n"/>
      <c r="K14" s="26" t="n"/>
      <c r="L14" s="14" t="n">
        <v>0</v>
      </c>
    </row>
    <row r="15">
      <c r="B15" s="22" t="inlineStr">
        <is>
          <t>CME Videographer</t>
        </is>
      </c>
      <c r="C15" s="22" t="n"/>
      <c r="D15" s="25" t="n"/>
      <c r="E15" s="25" t="n"/>
      <c r="F15" s="25" t="n"/>
      <c r="G15" s="25" t="n"/>
      <c r="H15" s="25" t="n"/>
      <c r="I15" s="25" t="n"/>
      <c r="J15" s="25" t="n"/>
      <c r="K15" s="26" t="n"/>
      <c r="L15" s="14" t="n">
        <v>0</v>
      </c>
    </row>
    <row r="16">
      <c r="B16" s="22" t="inlineStr">
        <is>
          <t>Deposition</t>
        </is>
      </c>
      <c r="C16" s="22" t="n"/>
      <c r="D16" s="25" t="n"/>
      <c r="E16" s="25" t="n"/>
      <c r="F16" s="25" t="n"/>
      <c r="G16" s="25" t="n"/>
      <c r="H16" s="25" t="n"/>
      <c r="I16" s="25" t="n"/>
      <c r="J16" s="25" t="n"/>
      <c r="K16" s="26" t="n"/>
      <c r="L16" s="14" t="n">
        <v>0</v>
      </c>
    </row>
    <row r="17">
      <c r="B17" s="22" t="inlineStr">
        <is>
          <t>Postage</t>
        </is>
      </c>
      <c r="C17" s="22" t="n"/>
      <c r="D17" s="25" t="n"/>
      <c r="E17" s="25" t="n"/>
      <c r="F17" s="25" t="n"/>
      <c r="G17" s="25" t="n"/>
      <c r="H17" s="25" t="n"/>
      <c r="I17" s="25" t="n"/>
      <c r="J17" s="25" t="n"/>
      <c r="K17" s="26" t="n"/>
      <c r="L17" s="14" t="n">
        <v>0</v>
      </c>
    </row>
    <row r="18">
      <c r="B18" s="22" t="inlineStr">
        <is>
          <t>Medical records/bills req.</t>
        </is>
      </c>
      <c r="C18" s="22" t="n"/>
      <c r="D18" s="25" t="n"/>
      <c r="E18" s="25" t="n"/>
      <c r="F18" s="25" t="n"/>
      <c r="G18" s="25" t="n"/>
      <c r="H18" s="25" t="n"/>
      <c r="I18" s="25" t="n"/>
      <c r="J18" s="25" t="n"/>
      <c r="K18" s="26" t="n"/>
      <c r="L18" s="14" t="n">
        <v>0</v>
      </c>
    </row>
    <row r="19">
      <c r="B19" s="22" t="inlineStr">
        <is>
          <t>File Storage fee</t>
        </is>
      </c>
      <c r="C19" s="22" t="n"/>
      <c r="D19" s="25" t="n"/>
      <c r="E19" s="25" t="n"/>
      <c r="F19" s="25" t="n"/>
      <c r="G19" s="25" t="n"/>
      <c r="H19" s="25" t="n"/>
      <c r="I19" s="25" t="n"/>
      <c r="J19" s="25" t="n"/>
      <c r="K19" s="26" t="n"/>
      <c r="L19" s="14" t="n">
        <v>0</v>
      </c>
    </row>
    <row r="20">
      <c r="B20" s="28" t="inlineStr">
        <is>
          <t>Total Attorney Costs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6" t="n"/>
      <c r="L20" s="17">
        <f>SUM(L12:L19)</f>
        <v/>
      </c>
    </row>
    <row r="21">
      <c r="B21" s="28" t="inlineStr">
        <is>
          <t>Total Fees &amp; Costs</t>
        </is>
      </c>
      <c r="C21" s="25" t="n"/>
      <c r="D21" s="25" t="n"/>
      <c r="E21" s="25" t="n"/>
      <c r="F21" s="25" t="n"/>
      <c r="G21" s="25" t="n"/>
      <c r="H21" s="25" t="n"/>
      <c r="I21" s="25" t="n"/>
      <c r="J21" s="25" t="n"/>
      <c r="K21" s="26" t="n"/>
      <c r="L21" s="17">
        <f>L11+L20</f>
        <v/>
      </c>
    </row>
    <row r="23">
      <c r="B23" s="24" t="inlineStr">
        <is>
          <t>3. MEDICAL PROVIDER LEDGER &amp; LIEN REDUCTIONS</t>
        </is>
      </c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6" t="n"/>
    </row>
    <row r="24">
      <c r="A24" s="7" t="n"/>
      <c r="B24" s="8" t="inlineStr">
        <is>
          <t>Provider Type</t>
        </is>
      </c>
      <c r="C24" s="8" t="inlineStr">
        <is>
          <t>Provider Name</t>
        </is>
      </c>
      <c r="D24" s="18" t="inlineStr">
        <is>
          <t>Total Charges</t>
        </is>
      </c>
      <c r="E24" s="8" t="inlineStr">
        <is>
          <t>PIP Payments</t>
        </is>
      </c>
      <c r="F24" s="8" t="inlineStr">
        <is>
          <t>Health Payments</t>
        </is>
      </c>
      <c r="G24" s="8" t="inlineStr">
        <is>
          <t>Med Pay</t>
        </is>
      </c>
      <c r="H24" s="8" t="inlineStr">
        <is>
          <t>Adjustments</t>
        </is>
      </c>
      <c r="I24" s="8" t="inlineStr">
        <is>
          <t>Balance Owed</t>
        </is>
      </c>
      <c r="J24" s="19" t="inlineStr">
        <is>
          <t>Max Offer</t>
        </is>
      </c>
      <c r="K24" s="19" t="inlineStr">
        <is>
          <t>Low Offer</t>
        </is>
      </c>
      <c r="L24" s="8" t="inlineStr">
        <is>
          <t>Reduced Bill</t>
        </is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</row>
    <row r="25">
      <c r="B25" s="22" t="inlineStr">
        <is>
          <t>Urgent care</t>
        </is>
      </c>
      <c r="C25" s="22" t="inlineStr">
        <is>
          <t>Riverton Urgent Care (DOS 02/20/2026)</t>
        </is>
      </c>
      <c r="D25" s="14" t="n">
        <v>685</v>
      </c>
      <c r="E25" s="14" t="n"/>
      <c r="F25" s="30" t="n"/>
      <c r="G25" s="30" t="n">
        <v>685</v>
      </c>
      <c r="H25" s="30" t="n"/>
      <c r="I25" s="14">
        <f>D25-E25-F25-G25-H25</f>
        <v/>
      </c>
      <c r="J25" s="30" t="n"/>
      <c r="K25" s="30" t="n"/>
      <c r="L25" s="30" t="n">
        <v>0</v>
      </c>
    </row>
    <row r="26">
      <c r="B26" s="22" t="inlineStr">
        <is>
          <t>Chiro / PT (LOP)</t>
        </is>
      </c>
      <c r="C26" s="22" t="inlineStr">
        <is>
          <t>Riverton Spine &amp; Rehab — itemized LOP ledger as billed</t>
        </is>
      </c>
      <c r="D26" s="14" t="n">
        <v>6290</v>
      </c>
      <c r="E26" s="14" t="n"/>
      <c r="F26" s="30" t="n"/>
      <c r="G26" s="30" t="n"/>
      <c r="H26" s="30" t="n"/>
      <c r="I26" s="14">
        <f>D26-E26-F26-G26-H26</f>
        <v/>
      </c>
      <c r="J26" s="30" t="n"/>
      <c r="K26" s="30" t="n"/>
      <c r="L26" s="30" t="n">
        <v>0</v>
      </c>
    </row>
    <row r="27">
      <c r="B27" s="22" t="inlineStr">
        <is>
          <t>Orthopedics</t>
        </is>
      </c>
      <c r="C27" s="22" t="inlineStr">
        <is>
          <t>Lakeside Orthopedics (3 visits)</t>
        </is>
      </c>
      <c r="D27" s="14" t="n">
        <v>1920</v>
      </c>
      <c r="E27" s="14" t="n"/>
      <c r="F27" s="30" t="n"/>
      <c r="G27" s="30" t="n">
        <v>1920</v>
      </c>
      <c r="H27" s="30" t="n"/>
      <c r="I27" s="14">
        <f>D27-E27-F27-G27-H27</f>
        <v/>
      </c>
      <c r="J27" s="30" t="n"/>
      <c r="K27" s="30" t="n"/>
      <c r="L27" s="30" t="n">
        <v>0</v>
      </c>
    </row>
    <row r="28">
      <c r="B28" s="22" t="inlineStr">
        <is>
          <t>MRI</t>
        </is>
      </c>
      <c r="C28" s="22" t="inlineStr">
        <is>
          <t>Summit Imaging Center (cervical MRI 03/13/2026)</t>
        </is>
      </c>
      <c r="D28" s="14" t="n">
        <v>2395</v>
      </c>
      <c r="E28" s="14" t="n"/>
      <c r="F28" s="30" t="n"/>
      <c r="G28" s="30" t="n">
        <v>2395</v>
      </c>
      <c r="H28" s="30" t="n"/>
      <c r="I28" s="14">
        <f>D28-E28-F28-G28-H28</f>
        <v/>
      </c>
      <c r="J28" s="30" t="n"/>
      <c r="K28" s="30" t="n"/>
      <c r="L28" s="30" t="n">
        <v>0</v>
      </c>
    </row>
    <row r="29">
      <c r="B29" s="22" t="inlineStr">
        <is>
          <t>Pain management</t>
        </is>
      </c>
      <c r="C29" s="22" t="inlineStr">
        <is>
          <t>Crescent Pain &amp; Spine (ESI 05/15/2026)</t>
        </is>
      </c>
      <c r="D29" s="14" t="n">
        <v>3400</v>
      </c>
      <c r="E29" s="14" t="n"/>
      <c r="F29" s="30" t="n">
        <v>1860</v>
      </c>
      <c r="G29" s="30" t="n"/>
      <c r="H29" s="30" t="n">
        <v>1540</v>
      </c>
      <c r="I29" s="14">
        <f>D29-E29-F29-G29-H29</f>
        <v/>
      </c>
      <c r="J29" s="30" t="n"/>
      <c r="K29" s="30" t="n"/>
      <c r="L29" s="30" t="n">
        <v>0</v>
      </c>
    </row>
    <row r="30">
      <c r="B30" s="22" t="inlineStr">
        <is>
          <t>Health plan lien (verify!)</t>
        </is>
      </c>
      <c r="C30" s="22" t="inlineStr">
        <is>
          <t>Peach State Health Plan reimbursement claim — fully insured group plan</t>
        </is>
      </c>
      <c r="D30" s="14" t="n">
        <v>1860</v>
      </c>
      <c r="E30" s="14" t="n"/>
      <c r="F30" s="30" t="n"/>
      <c r="G30" s="30" t="n"/>
      <c r="H30" s="30" t="n"/>
      <c r="I30" s="14">
        <f>D30-E30-F30-G30-H30</f>
        <v/>
      </c>
      <c r="J30" s="30" t="n"/>
      <c r="K30" s="30" t="n"/>
      <c r="L30" s="30" t="n">
        <v>0</v>
      </c>
    </row>
    <row r="31">
      <c r="B31" s="22" t="n"/>
      <c r="C31" s="22" t="n"/>
      <c r="D31" s="14" t="n"/>
      <c r="E31" s="14" t="n"/>
      <c r="F31" s="14" t="n"/>
      <c r="G31" s="14" t="n"/>
      <c r="H31" s="14" t="n"/>
      <c r="I31" s="14">
        <f>D31-E31-F31-G31-H31</f>
        <v/>
      </c>
      <c r="J31" s="14" t="n"/>
      <c r="K31" s="14" t="n"/>
      <c r="L31" s="14" t="n">
        <v>0</v>
      </c>
    </row>
    <row r="32">
      <c r="B32" s="22" t="n"/>
      <c r="C32" s="22" t="n"/>
      <c r="D32" s="14" t="n"/>
      <c r="E32" s="14" t="n"/>
      <c r="F32" s="14" t="n"/>
      <c r="G32" s="14" t="n"/>
      <c r="H32" s="14" t="n"/>
      <c r="I32" s="14">
        <f>D32-E32-F32-G32-H32</f>
        <v/>
      </c>
      <c r="J32" s="14" t="n"/>
      <c r="K32" s="14" t="n"/>
      <c r="L32" s="14" t="n">
        <v>0</v>
      </c>
    </row>
    <row r="33">
      <c r="B33" s="22" t="n"/>
      <c r="C33" s="22" t="n"/>
      <c r="D33" s="14" t="n"/>
      <c r="E33" s="14" t="n"/>
      <c r="F33" s="14" t="n"/>
      <c r="G33" s="14" t="n"/>
      <c r="H33" s="14" t="n"/>
      <c r="I33" s="14">
        <f>D33-E33-F33-G33-H33</f>
        <v/>
      </c>
      <c r="J33" s="14" t="n"/>
      <c r="K33" s="14" t="n"/>
      <c r="L33" s="14" t="n">
        <v>0</v>
      </c>
    </row>
    <row r="34">
      <c r="B34" s="22" t="n"/>
      <c r="C34" s="22" t="n"/>
      <c r="D34" s="14" t="n"/>
      <c r="E34" s="14" t="n"/>
      <c r="F34" s="14" t="n"/>
      <c r="G34" s="14" t="n"/>
      <c r="H34" s="14" t="n"/>
      <c r="I34" s="14">
        <f>D34-E34-F34-G34-H34</f>
        <v/>
      </c>
      <c r="J34" s="14" t="n"/>
      <c r="K34" s="14" t="n"/>
      <c r="L34" s="14" t="n">
        <v>0</v>
      </c>
    </row>
    <row r="35">
      <c r="B35" s="22" t="n"/>
      <c r="C35" s="22" t="n"/>
      <c r="D35" s="14" t="n"/>
      <c r="E35" s="14" t="n"/>
      <c r="F35" s="14" t="n"/>
      <c r="G35" s="14" t="n"/>
      <c r="H35" s="14" t="n"/>
      <c r="I35" s="14">
        <f>D35-E35-F35-G35-H35</f>
        <v/>
      </c>
      <c r="J35" s="14" t="n"/>
      <c r="K35" s="14" t="n"/>
      <c r="L35" s="14" t="n">
        <v>0</v>
      </c>
    </row>
    <row r="36">
      <c r="B36" s="22" t="n"/>
      <c r="C36" s="22" t="n"/>
      <c r="D36" s="14" t="n"/>
      <c r="E36" s="14" t="n"/>
      <c r="F36" s="14" t="n"/>
      <c r="G36" s="14" t="n"/>
      <c r="H36" s="14" t="n"/>
      <c r="I36" s="14">
        <f>D36-E36-F36-G36-H36</f>
        <v/>
      </c>
      <c r="J36" s="14" t="n"/>
      <c r="K36" s="14" t="n"/>
      <c r="L36" s="14" t="n">
        <v>0</v>
      </c>
    </row>
    <row r="37">
      <c r="B37" s="22" t="n"/>
      <c r="C37" s="22" t="n"/>
      <c r="D37" s="14" t="n"/>
      <c r="E37" s="14" t="n"/>
      <c r="F37" s="14" t="n"/>
      <c r="G37" s="14" t="n"/>
      <c r="H37" s="14" t="n"/>
      <c r="I37" s="14">
        <f>D37-E37-F37-G37-H37</f>
        <v/>
      </c>
      <c r="J37" s="14" t="n"/>
      <c r="K37" s="14" t="n"/>
      <c r="L37" s="14" t="n">
        <v>0</v>
      </c>
    </row>
    <row r="38">
      <c r="B38" s="22" t="n"/>
      <c r="C38" s="22" t="n"/>
      <c r="D38" s="14" t="n"/>
      <c r="E38" s="14" t="n"/>
      <c r="F38" s="14" t="n"/>
      <c r="G38" s="14" t="n"/>
      <c r="H38" s="14" t="n"/>
      <c r="I38" s="14">
        <f>D38-E38-F38-G38-H38</f>
        <v/>
      </c>
      <c r="J38" s="14" t="n"/>
      <c r="K38" s="14" t="n"/>
      <c r="L38" s="14" t="n">
        <v>0</v>
      </c>
    </row>
    <row r="39">
      <c r="B39" s="22" t="n"/>
      <c r="C39" s="22" t="n"/>
      <c r="D39" s="14" t="n"/>
      <c r="E39" s="14" t="n"/>
      <c r="F39" s="14" t="n"/>
      <c r="G39" s="14" t="n"/>
      <c r="H39" s="14" t="n"/>
      <c r="I39" s="14">
        <f>D39-E39-F39-G39-H39</f>
        <v/>
      </c>
      <c r="J39" s="14" t="n"/>
      <c r="K39" s="14" t="n"/>
      <c r="L39" s="14" t="n">
        <v>0</v>
      </c>
    </row>
    <row r="40">
      <c r="B40" s="22" t="n"/>
      <c r="C40" s="22" t="n"/>
      <c r="D40" s="14" t="n"/>
      <c r="E40" s="14" t="n"/>
      <c r="F40" s="14" t="n"/>
      <c r="G40" s="14" t="n"/>
      <c r="H40" s="14" t="n"/>
      <c r="I40" s="14">
        <f>D40-E40-F40-G40-H40</f>
        <v/>
      </c>
      <c r="J40" s="14" t="n"/>
      <c r="K40" s="14" t="n"/>
      <c r="L40" s="14" t="n">
        <v>0</v>
      </c>
    </row>
    <row r="41">
      <c r="B41" s="29" t="n"/>
      <c r="C41" s="25" t="n"/>
      <c r="D41" s="25" t="n"/>
      <c r="E41" s="25" t="n"/>
      <c r="F41" s="25" t="n"/>
      <c r="G41" s="26" t="n"/>
      <c r="H41" s="21" t="n"/>
      <c r="I41" s="21" t="n"/>
      <c r="J41" s="21" t="n"/>
      <c r="K41" s="21" t="n"/>
      <c r="L41" s="21" t="n"/>
    </row>
    <row r="42">
      <c r="B42" s="22" t="inlineStr">
        <is>
          <t>Pre-Settlement Funding</t>
        </is>
      </c>
      <c r="C42" s="22" t="inlineStr">
        <is>
          <t>None reported</t>
        </is>
      </c>
      <c r="D42" s="14" t="n"/>
      <c r="E42" s="14" t="n"/>
      <c r="F42" s="14" t="n"/>
      <c r="G42" s="14" t="n"/>
      <c r="H42" s="14" t="n"/>
      <c r="I42" s="14">
        <f>D42-E42-F42-G42-H42</f>
        <v/>
      </c>
      <c r="J42" s="14" t="n"/>
      <c r="K42" s="14" t="n"/>
      <c r="L42" s="14" t="n">
        <v>0</v>
      </c>
    </row>
    <row r="43">
      <c r="B43" s="22" t="inlineStr">
        <is>
          <t>Prior Attorney</t>
        </is>
      </c>
      <c r="C43" s="22" t="inlineStr">
        <is>
          <t>None</t>
        </is>
      </c>
      <c r="D43" s="14" t="n"/>
      <c r="E43" s="14" t="n"/>
      <c r="F43" s="30" t="n"/>
      <c r="G43" s="30" t="n"/>
      <c r="H43" s="30" t="n"/>
      <c r="I43" s="14">
        <f>D43-E43-F43-G43-H43</f>
        <v/>
      </c>
      <c r="J43" s="30" t="n"/>
      <c r="K43" s="30" t="n"/>
      <c r="L43" s="30" t="n">
        <v>0</v>
      </c>
    </row>
    <row r="44">
      <c r="B44" s="28" t="inlineStr">
        <is>
          <t>Total Liens &amp; Reductions</t>
        </is>
      </c>
      <c r="C44" s="25" t="n"/>
      <c r="D44" s="25" t="n"/>
      <c r="E44" s="25" t="n"/>
      <c r="F44" s="25" t="n"/>
      <c r="G44" s="25" t="n"/>
      <c r="H44" s="26" t="n"/>
      <c r="I44" s="17">
        <f>SUM(I25:I43)</f>
        <v/>
      </c>
      <c r="J44" s="17">
        <f>SUM(J25:J43)</f>
        <v/>
      </c>
      <c r="K44" s="17">
        <f>SUM(K25:K43)</f>
        <v/>
      </c>
      <c r="L44" s="17">
        <f>SUM(L25:L43)</f>
        <v/>
      </c>
    </row>
    <row r="46">
      <c r="B46" s="24" t="inlineStr">
        <is>
          <t>4. FINAL CLIENT DISBURSEMENT CALCULATION</t>
        </is>
      </c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6" t="n"/>
    </row>
    <row r="47">
      <c r="A47" s="7" t="n"/>
      <c r="B47" s="8" t="inlineStr">
        <is>
          <t>Calculation</t>
        </is>
      </c>
      <c r="C47" s="25" t="n"/>
      <c r="D47" s="25" t="n"/>
      <c r="E47" s="25" t="n"/>
      <c r="F47" s="25" t="n"/>
      <c r="G47" s="25" t="n"/>
      <c r="H47" s="25" t="n"/>
      <c r="I47" s="25" t="n"/>
      <c r="J47" s="25" t="n"/>
      <c r="K47" s="26" t="n"/>
      <c r="L47" s="8" t="inlineStr">
        <is>
          <t>Amount</t>
        </is>
      </c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</row>
    <row r="48">
      <c r="B48" s="22" t="inlineStr">
        <is>
          <t>Gross Settlement</t>
        </is>
      </c>
      <c r="C48" s="25" t="n"/>
      <c r="D48" s="25" t="n"/>
      <c r="E48" s="25" t="n"/>
      <c r="F48" s="25" t="n"/>
      <c r="G48" s="25" t="n"/>
      <c r="H48" s="25" t="n"/>
      <c r="I48" s="25" t="n"/>
      <c r="J48" s="25" t="n"/>
      <c r="K48" s="26" t="n"/>
      <c r="L48" s="14">
        <f>L7</f>
        <v/>
      </c>
    </row>
    <row r="49">
      <c r="B49" s="22" t="inlineStr">
        <is>
          <t>Less: Attorney Fees</t>
        </is>
      </c>
      <c r="C49" s="25" t="n"/>
      <c r="D49" s="25" t="n"/>
      <c r="E49" s="25" t="n"/>
      <c r="F49" s="25" t="n"/>
      <c r="G49" s="25" t="n"/>
      <c r="H49" s="25" t="n"/>
      <c r="I49" s="25" t="n"/>
      <c r="J49" s="25" t="n"/>
      <c r="K49" s="26" t="n"/>
      <c r="L49" s="14">
        <f>-L11</f>
        <v/>
      </c>
    </row>
    <row r="50">
      <c r="B50" s="22" t="inlineStr">
        <is>
          <t>Less: Advanced Case Expenses</t>
        </is>
      </c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  <c r="L50" s="14">
        <f>-L20</f>
        <v/>
      </c>
    </row>
    <row r="51">
      <c r="B51" s="22" t="inlineStr">
        <is>
          <t>Less: Total Liens (Reduced)</t>
        </is>
      </c>
      <c r="C51" s="25" t="n"/>
      <c r="D51" s="25" t="n"/>
      <c r="E51" s="25" t="n"/>
      <c r="F51" s="25" t="n"/>
      <c r="G51" s="25" t="n"/>
      <c r="H51" s="25" t="n"/>
      <c r="I51" s="25" t="n"/>
      <c r="J51" s="25" t="n"/>
      <c r="K51" s="26" t="n"/>
      <c r="L51" s="14">
        <f>-L44</f>
        <v/>
      </c>
    </row>
    <row r="52">
      <c r="B52" s="28" t="inlineStr">
        <is>
          <t>NET CLIENT DISBURSEMENT</t>
        </is>
      </c>
      <c r="C52" s="25" t="n"/>
      <c r="D52" s="25" t="n"/>
      <c r="E52" s="25" t="n"/>
      <c r="F52" s="25" t="n"/>
      <c r="G52" s="25" t="n"/>
      <c r="H52" s="25" t="n"/>
      <c r="I52" s="25" t="n"/>
      <c r="J52" s="25" t="n"/>
      <c r="K52" s="26" t="n"/>
      <c r="L52" s="17">
        <f>SUM(L48:L51)</f>
        <v/>
      </c>
    </row>
  </sheetData>
  <mergeCells count="27">
    <mergeCell ref="C16:K16"/>
    <mergeCell ref="B49:K49"/>
    <mergeCell ref="C10:K10"/>
    <mergeCell ref="B46:L46"/>
    <mergeCell ref="B51:K51"/>
    <mergeCell ref="B20:K20"/>
    <mergeCell ref="C12:K12"/>
    <mergeCell ref="C11:K11"/>
    <mergeCell ref="B50:K50"/>
    <mergeCell ref="C17:K17"/>
    <mergeCell ref="B47:K47"/>
    <mergeCell ref="B23:L23"/>
    <mergeCell ref="C7:K7"/>
    <mergeCell ref="C19:K19"/>
    <mergeCell ref="B52:K52"/>
    <mergeCell ref="C13:K13"/>
    <mergeCell ref="B21:K21"/>
    <mergeCell ref="C18:K18"/>
    <mergeCell ref="B41:G41"/>
    <mergeCell ref="B48:K48"/>
    <mergeCell ref="B9:L9"/>
    <mergeCell ref="C6:K6"/>
    <mergeCell ref="C15:K15"/>
    <mergeCell ref="B44:H44"/>
    <mergeCell ref="C14:K14"/>
    <mergeCell ref="B5:L5"/>
    <mergeCell ref="B2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G52"/>
  <sheetViews>
    <sheetView workbookViewId="0">
      <selection activeCell="A1" sqref="A1"/>
    </sheetView>
  </sheetViews>
  <sheetFormatPr baseColWidth="8" defaultColWidth="14.43" defaultRowHeight="15" customHeight="1"/>
  <cols>
    <col width="3.14" customWidth="1" style="23" min="1" max="1"/>
    <col width="30.86" customWidth="1" style="23" min="2" max="2"/>
    <col width="31.14" customWidth="1" style="23" min="3" max="8"/>
    <col width="21.57" customWidth="1" style="23" min="9" max="11"/>
    <col width="44.43" customWidth="1" style="23" min="12" max="12"/>
  </cols>
  <sheetData>
    <row r="1">
      <c r="B1" s="1" t="n"/>
      <c r="C1" s="1" t="inlineStr">
        <is>
          <t xml:space="preserve"> PRACTICE — John Doe v. Apex (Aggressive Casualty offer $45,000 per Email 2). Fill the yellow cells; verify every figure against the source documents.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B2" s="3" t="n"/>
    </row>
    <row r="3"/>
    <row r="5">
      <c r="B5" s="24" t="inlineStr">
        <is>
          <t>1. SETTLEMENT RECOVERY SUMMARY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6" t="n"/>
    </row>
    <row r="6">
      <c r="A6" s="7" t="n"/>
      <c r="B6" s="8" t="inlineStr">
        <is>
          <t>Description</t>
        </is>
      </c>
      <c r="C6" s="8" t="inlineStr">
        <is>
          <t>Reference</t>
        </is>
      </c>
      <c r="D6" s="25" t="n"/>
      <c r="E6" s="25" t="n"/>
      <c r="F6" s="25" t="n"/>
      <c r="G6" s="25" t="n"/>
      <c r="H6" s="25" t="n"/>
      <c r="I6" s="25" t="n"/>
      <c r="J6" s="25" t="n"/>
      <c r="K6" s="26" t="n"/>
      <c r="L6" s="8" t="inlineStr">
        <is>
          <t>Amount</t>
        </is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</row>
    <row r="7">
      <c r="B7" s="22" t="inlineStr">
        <is>
          <t>Gross Settlement</t>
        </is>
      </c>
      <c r="C7" s="22" t="inlineStr">
        <is>
          <t>Aggressive Casualty Insurance (Claim 2026-0214-AX)</t>
        </is>
      </c>
      <c r="D7" s="25" t="n"/>
      <c r="E7" s="25" t="n"/>
      <c r="F7" s="25" t="n"/>
      <c r="G7" s="25" t="n"/>
      <c r="H7" s="25" t="n"/>
      <c r="I7" s="25" t="n"/>
      <c r="J7" s="25" t="n"/>
      <c r="K7" s="26" t="n"/>
      <c r="L7" s="14" t="n">
        <v>45000</v>
      </c>
    </row>
    <row r="9">
      <c r="B9" s="24" t="inlineStr">
        <is>
          <t>2. ATTORNEY FEES &amp; ADVANCED CASE EXPENSES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6" t="n"/>
    </row>
    <row r="10">
      <c r="A10" s="7" t="n"/>
      <c r="B10" s="8" t="inlineStr">
        <is>
          <t>Expense Type</t>
        </is>
      </c>
      <c r="C10" s="8" t="inlineStr">
        <is>
          <t>Details</t>
        </is>
      </c>
      <c r="D10" s="25" t="n"/>
      <c r="E10" s="25" t="n"/>
      <c r="F10" s="25" t="n"/>
      <c r="G10" s="25" t="n"/>
      <c r="H10" s="25" t="n"/>
      <c r="I10" s="25" t="n"/>
      <c r="J10" s="25" t="n"/>
      <c r="K10" s="26" t="n"/>
      <c r="L10" s="8" t="inlineStr">
        <is>
          <t>Amount</t>
        </is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</row>
    <row r="11">
      <c r="B11" s="22" t="inlineStr">
        <is>
          <t>Attorney Fees</t>
        </is>
      </c>
      <c r="C11" s="27" t="n">
        <v>0.3333333333333333</v>
      </c>
      <c r="D11" s="25" t="n"/>
      <c r="E11" s="25" t="n"/>
      <c r="F11" s="25" t="n"/>
      <c r="G11" s="25" t="n"/>
      <c r="H11" s="25" t="n"/>
      <c r="I11" s="25" t="n"/>
      <c r="J11" s="25" t="n"/>
      <c r="K11" s="26" t="n"/>
      <c r="L11" s="14">
        <f>L7*C11</f>
        <v/>
      </c>
    </row>
    <row r="12">
      <c r="B12" s="22" t="inlineStr">
        <is>
          <t>Filing fees &amp; Summons</t>
        </is>
      </c>
      <c r="C12" s="22" t="n"/>
      <c r="D12" s="25" t="n"/>
      <c r="E12" s="25" t="n"/>
      <c r="F12" s="25" t="n"/>
      <c r="G12" s="25" t="n"/>
      <c r="H12" s="25" t="n"/>
      <c r="I12" s="25" t="n"/>
      <c r="J12" s="25" t="n"/>
      <c r="K12" s="26" t="n"/>
      <c r="L12" s="14" t="n">
        <v>0</v>
      </c>
    </row>
    <row r="13">
      <c r="B13" s="22" t="inlineStr">
        <is>
          <t>Process Server</t>
        </is>
      </c>
      <c r="C13" s="22" t="n"/>
      <c r="D13" s="25" t="n"/>
      <c r="E13" s="25" t="n"/>
      <c r="F13" s="25" t="n"/>
      <c r="G13" s="25" t="n"/>
      <c r="H13" s="25" t="n"/>
      <c r="I13" s="25" t="n"/>
      <c r="J13" s="25" t="n"/>
      <c r="K13" s="26" t="n"/>
      <c r="L13" s="14" t="n">
        <v>0</v>
      </c>
    </row>
    <row r="14">
      <c r="B14" s="22" t="inlineStr">
        <is>
          <t>Mediation</t>
        </is>
      </c>
      <c r="C14" s="22" t="n"/>
      <c r="D14" s="25" t="n"/>
      <c r="E14" s="25" t="n"/>
      <c r="F14" s="25" t="n"/>
      <c r="G14" s="25" t="n"/>
      <c r="H14" s="25" t="n"/>
      <c r="I14" s="25" t="n"/>
      <c r="J14" s="25" t="n"/>
      <c r="K14" s="26" t="n"/>
      <c r="L14" s="14" t="n">
        <v>0</v>
      </c>
    </row>
    <row r="15">
      <c r="B15" s="22" t="inlineStr">
        <is>
          <t>CME Videographer</t>
        </is>
      </c>
      <c r="C15" s="22" t="n"/>
      <c r="D15" s="25" t="n"/>
      <c r="E15" s="25" t="n"/>
      <c r="F15" s="25" t="n"/>
      <c r="G15" s="25" t="n"/>
      <c r="H15" s="25" t="n"/>
      <c r="I15" s="25" t="n"/>
      <c r="J15" s="25" t="n"/>
      <c r="K15" s="26" t="n"/>
      <c r="L15" s="14" t="n">
        <v>0</v>
      </c>
    </row>
    <row r="16">
      <c r="B16" s="22" t="inlineStr">
        <is>
          <t>Deposition</t>
        </is>
      </c>
      <c r="C16" s="22" t="n"/>
      <c r="D16" s="25" t="n"/>
      <c r="E16" s="25" t="n"/>
      <c r="F16" s="25" t="n"/>
      <c r="G16" s="25" t="n"/>
      <c r="H16" s="25" t="n"/>
      <c r="I16" s="25" t="n"/>
      <c r="J16" s="25" t="n"/>
      <c r="K16" s="26" t="n"/>
      <c r="L16" s="14" t="n">
        <v>0</v>
      </c>
    </row>
    <row r="17">
      <c r="B17" s="22" t="inlineStr">
        <is>
          <t>Postage</t>
        </is>
      </c>
      <c r="C17" s="22" t="n"/>
      <c r="D17" s="25" t="n"/>
      <c r="E17" s="25" t="n"/>
      <c r="F17" s="25" t="n"/>
      <c r="G17" s="25" t="n"/>
      <c r="H17" s="25" t="n"/>
      <c r="I17" s="25" t="n"/>
      <c r="J17" s="25" t="n"/>
      <c r="K17" s="26" t="n"/>
      <c r="L17" s="14" t="n">
        <v>0</v>
      </c>
    </row>
    <row r="18">
      <c r="B18" s="22" t="inlineStr">
        <is>
          <t>Medical records/bills req.</t>
        </is>
      </c>
      <c r="C18" s="22" t="n"/>
      <c r="D18" s="25" t="n"/>
      <c r="E18" s="25" t="n"/>
      <c r="F18" s="25" t="n"/>
      <c r="G18" s="25" t="n"/>
      <c r="H18" s="25" t="n"/>
      <c r="I18" s="25" t="n"/>
      <c r="J18" s="25" t="n"/>
      <c r="K18" s="26" t="n"/>
      <c r="L18" s="14" t="n">
        <v>0</v>
      </c>
    </row>
    <row r="19">
      <c r="B19" s="22" t="inlineStr">
        <is>
          <t>File Storage fee</t>
        </is>
      </c>
      <c r="C19" s="22" t="n"/>
      <c r="D19" s="25" t="n"/>
      <c r="E19" s="25" t="n"/>
      <c r="F19" s="25" t="n"/>
      <c r="G19" s="25" t="n"/>
      <c r="H19" s="25" t="n"/>
      <c r="I19" s="25" t="n"/>
      <c r="J19" s="25" t="n"/>
      <c r="K19" s="26" t="n"/>
      <c r="L19" s="14" t="n">
        <v>0</v>
      </c>
    </row>
    <row r="20">
      <c r="B20" s="28" t="inlineStr">
        <is>
          <t>Total Attorney Costs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6" t="n"/>
      <c r="L20" s="17">
        <f>SUM(L12:L19)</f>
        <v/>
      </c>
    </row>
    <row r="21">
      <c r="B21" s="28" t="inlineStr">
        <is>
          <t>Total Fees &amp; Costs</t>
        </is>
      </c>
      <c r="C21" s="25" t="n"/>
      <c r="D21" s="25" t="n"/>
      <c r="E21" s="25" t="n"/>
      <c r="F21" s="25" t="n"/>
      <c r="G21" s="25" t="n"/>
      <c r="H21" s="25" t="n"/>
      <c r="I21" s="25" t="n"/>
      <c r="J21" s="25" t="n"/>
      <c r="K21" s="26" t="n"/>
      <c r="L21" s="17">
        <f>L11+L20</f>
        <v/>
      </c>
    </row>
    <row r="23">
      <c r="B23" s="24" t="inlineStr">
        <is>
          <t>3. MEDICAL PROVIDER LEDGER &amp; LIEN REDUCTIONS</t>
        </is>
      </c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6" t="n"/>
    </row>
    <row r="24">
      <c r="A24" s="7" t="n"/>
      <c r="B24" s="8" t="inlineStr">
        <is>
          <t>Provider Type</t>
        </is>
      </c>
      <c r="C24" s="8" t="inlineStr">
        <is>
          <t>Provider Name</t>
        </is>
      </c>
      <c r="D24" s="18" t="inlineStr">
        <is>
          <t>Total Charges</t>
        </is>
      </c>
      <c r="E24" s="8" t="inlineStr">
        <is>
          <t>PIP Payments</t>
        </is>
      </c>
      <c r="F24" s="8" t="inlineStr">
        <is>
          <t>Health Payments</t>
        </is>
      </c>
      <c r="G24" s="8" t="inlineStr">
        <is>
          <t>Med Pay</t>
        </is>
      </c>
      <c r="H24" s="8" t="inlineStr">
        <is>
          <t>Adjustments</t>
        </is>
      </c>
      <c r="I24" s="8" t="inlineStr">
        <is>
          <t>Balance Owed</t>
        </is>
      </c>
      <c r="J24" s="19" t="inlineStr">
        <is>
          <t>Max Offer</t>
        </is>
      </c>
      <c r="K24" s="19" t="inlineStr">
        <is>
          <t>Low Offer</t>
        </is>
      </c>
      <c r="L24" s="8" t="inlineStr">
        <is>
          <t>Reduced Bill</t>
        </is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</row>
    <row r="25">
      <c r="B25" s="22" t="inlineStr">
        <is>
          <t>EMS</t>
        </is>
      </c>
      <c r="C25" s="22" t="inlineStr">
        <is>
          <t>Metro Center EMS</t>
        </is>
      </c>
      <c r="D25" s="14" t="n">
        <v>2200</v>
      </c>
      <c r="E25" s="14" t="n">
        <v>2200</v>
      </c>
      <c r="F25" s="30" t="n"/>
      <c r="G25" s="30" t="n"/>
      <c r="H25" s="30" t="n"/>
      <c r="I25" s="14">
        <f>D25-E25-F25-G25-H25</f>
        <v/>
      </c>
      <c r="J25" s="30" t="n"/>
      <c r="K25" s="30" t="n"/>
      <c r="L25" s="30" t="n">
        <v>0</v>
      </c>
    </row>
    <row r="26">
      <c r="B26" s="22" t="inlineStr">
        <is>
          <t>ER/Hospital</t>
        </is>
      </c>
      <c r="C26" s="22" t="inlineStr">
        <is>
          <t>Metro General Hospital (ER + CT)</t>
        </is>
      </c>
      <c r="D26" s="14" t="n">
        <v>12700</v>
      </c>
      <c r="E26" s="14" t="n">
        <v>7800</v>
      </c>
      <c r="F26" s="30" t="n"/>
      <c r="G26" s="30" t="n"/>
      <c r="H26" s="30" t="n"/>
      <c r="I26" s="14">
        <f>D26-E26-F26-G26-H26</f>
        <v/>
      </c>
      <c r="J26" s="30" t="n"/>
      <c r="K26" s="30" t="n"/>
      <c r="L26" s="30" t="n">
        <v>0</v>
      </c>
    </row>
    <row r="27">
      <c r="B27" s="22" t="inlineStr">
        <is>
          <t>EMC/Spine</t>
        </is>
      </c>
      <c r="C27" s="22" t="inlineStr">
        <is>
          <t>Dr. Sarah Spine, MD (EMC eval)</t>
        </is>
      </c>
      <c r="D27" s="14" t="n">
        <v>1200</v>
      </c>
      <c r="E27" s="14" t="n">
        <v>0</v>
      </c>
      <c r="F27" s="30" t="n"/>
      <c r="G27" s="30" t="n"/>
      <c r="H27" s="30" t="n"/>
      <c r="I27" s="14">
        <f>D27-E27-F27-G27-H27</f>
        <v/>
      </c>
      <c r="J27" s="30" t="n"/>
      <c r="K27" s="30" t="n"/>
      <c r="L27" s="30" t="n">
        <v>0</v>
      </c>
    </row>
    <row r="28">
      <c r="B28" s="22" t="inlineStr">
        <is>
          <t>MRI</t>
        </is>
      </c>
      <c r="C28" s="22" t="inlineStr">
        <is>
          <t>Metro Radiology &amp; Imaging</t>
        </is>
      </c>
      <c r="D28" s="14" t="n">
        <v>5000</v>
      </c>
      <c r="E28" s="14" t="n">
        <v>0</v>
      </c>
      <c r="F28" s="30" t="n"/>
      <c r="G28" s="30" t="n"/>
      <c r="H28" s="30" t="n"/>
      <c r="I28" s="14">
        <f>D28-E28-F28-G28-H28</f>
        <v/>
      </c>
      <c r="J28" s="30" t="n"/>
      <c r="K28" s="30" t="n"/>
      <c r="L28" s="30" t="n">
        <v>0</v>
      </c>
    </row>
    <row r="29">
      <c r="B29" s="22" t="inlineStr">
        <is>
          <t>Chiro</t>
        </is>
      </c>
      <c r="C29" s="22" t="inlineStr">
        <is>
          <t>City Chiropractic &amp; Rehab (billed to date)</t>
        </is>
      </c>
      <c r="D29" s="14" t="n">
        <v>320</v>
      </c>
      <c r="E29" s="14" t="n">
        <v>0</v>
      </c>
      <c r="F29" s="30" t="n"/>
      <c r="G29" s="30" t="n"/>
      <c r="H29" s="30" t="n"/>
      <c r="I29" s="14">
        <f>D29-E29-F29-G29-H29</f>
        <v/>
      </c>
      <c r="J29" s="30" t="n"/>
      <c r="K29" s="30" t="n"/>
      <c r="L29" s="30" t="n">
        <v>0</v>
      </c>
    </row>
    <row r="30">
      <c r="B30" s="22" t="inlineStr">
        <is>
          <t>PT</t>
        </is>
      </c>
      <c r="C30" s="22" t="inlineStr">
        <is>
          <t>Metro Physical Therapy (billed to date)</t>
        </is>
      </c>
      <c r="D30" s="14" t="n">
        <v>560</v>
      </c>
      <c r="E30" s="14" t="n">
        <v>0</v>
      </c>
      <c r="F30" s="30" t="n"/>
      <c r="G30" s="30" t="n"/>
      <c r="H30" s="30" t="n"/>
      <c r="I30" s="14">
        <f>D30-E30-F30-G30-H30</f>
        <v/>
      </c>
      <c r="J30" s="30" t="n"/>
      <c r="K30" s="30" t="n"/>
      <c r="L30" s="30" t="n">
        <v>0</v>
      </c>
    </row>
    <row r="31">
      <c r="B31" s="22" t="inlineStr">
        <is>
          <t>Statutory liens (verify!)</t>
        </is>
      </c>
      <c r="C31" s="22" t="inlineStr">
        <is>
          <t>Metro General lien $45,000 · BlueCross ERISA $20,000 · Global Health $11,200 — reconcile before entering</t>
        </is>
      </c>
      <c r="D31" s="14" t="n"/>
      <c r="E31" s="14" t="n"/>
      <c r="F31" s="14" t="n"/>
      <c r="G31" s="14" t="n"/>
      <c r="H31" s="14" t="n"/>
      <c r="I31" s="14">
        <f>D31-E31-F31-G31-H31</f>
        <v/>
      </c>
      <c r="J31" s="14" t="n"/>
      <c r="K31" s="14" t="n"/>
      <c r="L31" s="14" t="n">
        <v>0</v>
      </c>
    </row>
    <row r="32">
      <c r="B32" s="22" t="n"/>
      <c r="C32" s="22" t="n"/>
      <c r="D32" s="14" t="n"/>
      <c r="E32" s="14" t="n"/>
      <c r="F32" s="14" t="n"/>
      <c r="G32" s="14" t="n"/>
      <c r="H32" s="14" t="n"/>
      <c r="I32" s="14">
        <f>D32-E32-F32-G32-H32</f>
        <v/>
      </c>
      <c r="J32" s="14" t="n"/>
      <c r="K32" s="14" t="n"/>
      <c r="L32" s="14" t="n">
        <v>0</v>
      </c>
    </row>
    <row r="33">
      <c r="B33" s="22" t="n"/>
      <c r="C33" s="22" t="n"/>
      <c r="D33" s="14" t="n"/>
      <c r="E33" s="14" t="n"/>
      <c r="F33" s="14" t="n"/>
      <c r="G33" s="14" t="n"/>
      <c r="H33" s="14" t="n"/>
      <c r="I33" s="14">
        <f>D33-E33-F33-G33-H33</f>
        <v/>
      </c>
      <c r="J33" s="14" t="n"/>
      <c r="K33" s="14" t="n"/>
      <c r="L33" s="14" t="n">
        <v>0</v>
      </c>
    </row>
    <row r="34">
      <c r="B34" s="22" t="n"/>
      <c r="C34" s="22" t="n"/>
      <c r="D34" s="14" t="n"/>
      <c r="E34" s="14" t="n"/>
      <c r="F34" s="14" t="n"/>
      <c r="G34" s="14" t="n"/>
      <c r="H34" s="14" t="n"/>
      <c r="I34" s="14">
        <f>D34-E34-F34-G34-H34</f>
        <v/>
      </c>
      <c r="J34" s="14" t="n"/>
      <c r="K34" s="14" t="n"/>
      <c r="L34" s="14" t="n">
        <v>0</v>
      </c>
    </row>
    <row r="35">
      <c r="B35" s="22" t="n"/>
      <c r="C35" s="22" t="n"/>
      <c r="D35" s="14" t="n"/>
      <c r="E35" s="14" t="n"/>
      <c r="F35" s="14" t="n"/>
      <c r="G35" s="14" t="n"/>
      <c r="H35" s="14" t="n"/>
      <c r="I35" s="14">
        <f>D35-E35-F35-G35-H35</f>
        <v/>
      </c>
      <c r="J35" s="14" t="n"/>
      <c r="K35" s="14" t="n"/>
      <c r="L35" s="14" t="n">
        <v>0</v>
      </c>
    </row>
    <row r="36">
      <c r="B36" s="22" t="n"/>
      <c r="C36" s="22" t="n"/>
      <c r="D36" s="14" t="n"/>
      <c r="E36" s="14" t="n"/>
      <c r="F36" s="14" t="n"/>
      <c r="G36" s="14" t="n"/>
      <c r="H36" s="14" t="n"/>
      <c r="I36" s="14">
        <f>D36-E36-F36-G36-H36</f>
        <v/>
      </c>
      <c r="J36" s="14" t="n"/>
      <c r="K36" s="14" t="n"/>
      <c r="L36" s="14" t="n">
        <v>0</v>
      </c>
    </row>
    <row r="37">
      <c r="B37" s="22" t="n"/>
      <c r="C37" s="22" t="n"/>
      <c r="D37" s="14" t="n"/>
      <c r="E37" s="14" t="n"/>
      <c r="F37" s="14" t="n"/>
      <c r="G37" s="14" t="n"/>
      <c r="H37" s="14" t="n"/>
      <c r="I37" s="14">
        <f>D37-E37-F37-G37-H37</f>
        <v/>
      </c>
      <c r="J37" s="14" t="n"/>
      <c r="K37" s="14" t="n"/>
      <c r="L37" s="14" t="n">
        <v>0</v>
      </c>
    </row>
    <row r="38">
      <c r="B38" s="22" t="n"/>
      <c r="C38" s="22" t="n"/>
      <c r="D38" s="14" t="n"/>
      <c r="E38" s="14" t="n"/>
      <c r="F38" s="14" t="n"/>
      <c r="G38" s="14" t="n"/>
      <c r="H38" s="14" t="n"/>
      <c r="I38" s="14">
        <f>D38-E38-F38-G38-H38</f>
        <v/>
      </c>
      <c r="J38" s="14" t="n"/>
      <c r="K38" s="14" t="n"/>
      <c r="L38" s="14" t="n">
        <v>0</v>
      </c>
    </row>
    <row r="39">
      <c r="B39" s="22" t="n"/>
      <c r="C39" s="22" t="n"/>
      <c r="D39" s="14" t="n"/>
      <c r="E39" s="14" t="n"/>
      <c r="F39" s="14" t="n"/>
      <c r="G39" s="14" t="n"/>
      <c r="H39" s="14" t="n"/>
      <c r="I39" s="14">
        <f>D39-E39-F39-G39-H39</f>
        <v/>
      </c>
      <c r="J39" s="14" t="n"/>
      <c r="K39" s="14" t="n"/>
      <c r="L39" s="14" t="n">
        <v>0</v>
      </c>
    </row>
    <row r="40">
      <c r="B40" s="22" t="n"/>
      <c r="C40" s="22" t="n"/>
      <c r="D40" s="14" t="n"/>
      <c r="E40" s="14" t="n"/>
      <c r="F40" s="14" t="n"/>
      <c r="G40" s="14" t="n"/>
      <c r="H40" s="14" t="n"/>
      <c r="I40" s="14">
        <f>D40-E40-F40-G40-H40</f>
        <v/>
      </c>
      <c r="J40" s="14" t="n"/>
      <c r="K40" s="14" t="n"/>
      <c r="L40" s="14" t="n">
        <v>0</v>
      </c>
    </row>
    <row r="41">
      <c r="B41" s="29" t="n"/>
      <c r="C41" s="25" t="n"/>
      <c r="D41" s="25" t="n"/>
      <c r="E41" s="25" t="n"/>
      <c r="F41" s="25" t="n"/>
      <c r="G41" s="26" t="n"/>
      <c r="H41" s="21" t="n"/>
      <c r="I41" s="21" t="n"/>
      <c r="J41" s="21" t="n"/>
      <c r="K41" s="21" t="n"/>
      <c r="L41" s="21" t="n"/>
    </row>
    <row r="42">
      <c r="B42" s="22" t="inlineStr">
        <is>
          <t>Pre-Settlement Funding</t>
        </is>
      </c>
      <c r="C42" s="22" t="inlineStr">
        <is>
          <t>None reported</t>
        </is>
      </c>
      <c r="D42" s="14" t="n"/>
      <c r="E42" s="14" t="n"/>
      <c r="F42" s="14" t="n"/>
      <c r="G42" s="14" t="n"/>
      <c r="H42" s="14" t="n"/>
      <c r="I42" s="14">
        <f>D42-E42-F42-G42-H42</f>
        <v/>
      </c>
      <c r="J42" s="14" t="n"/>
      <c r="K42" s="14" t="n"/>
      <c r="L42" s="14" t="n">
        <v>0</v>
      </c>
    </row>
    <row r="43">
      <c r="B43" s="22" t="inlineStr">
        <is>
          <t>Prior Attorney</t>
        </is>
      </c>
      <c r="C43" s="22" t="inlineStr">
        <is>
          <t>Barry Slow, Esq. — $400 costs + $800 QM (asserted)</t>
        </is>
      </c>
      <c r="D43" s="14" t="n">
        <v>1200</v>
      </c>
      <c r="E43" s="14" t="n"/>
      <c r="F43" s="30" t="n"/>
      <c r="G43" s="30" t="n"/>
      <c r="H43" s="30" t="n"/>
      <c r="I43" s="14">
        <f>D43-E43-F43-G43-H43</f>
        <v/>
      </c>
      <c r="J43" s="30" t="n"/>
      <c r="K43" s="30" t="n"/>
      <c r="L43" s="30" t="n">
        <v>0</v>
      </c>
    </row>
    <row r="44">
      <c r="B44" s="28" t="inlineStr">
        <is>
          <t>Total Liens &amp; Reductions</t>
        </is>
      </c>
      <c r="C44" s="25" t="n"/>
      <c r="D44" s="25" t="n"/>
      <c r="E44" s="25" t="n"/>
      <c r="F44" s="25" t="n"/>
      <c r="G44" s="25" t="n"/>
      <c r="H44" s="26" t="n"/>
      <c r="I44" s="17">
        <f>SUM(I25:I43)</f>
        <v/>
      </c>
      <c r="J44" s="17">
        <f>SUM(J25:J43)</f>
        <v/>
      </c>
      <c r="K44" s="17">
        <f>SUM(K25:K43)</f>
        <v/>
      </c>
      <c r="L44" s="17">
        <f>SUM(L25:L43)</f>
        <v/>
      </c>
    </row>
    <row r="46">
      <c r="B46" s="24" t="inlineStr">
        <is>
          <t>4. FINAL CLIENT DISBURSEMENT CALCULATION</t>
        </is>
      </c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6" t="n"/>
    </row>
    <row r="47">
      <c r="A47" s="7" t="n"/>
      <c r="B47" s="8" t="inlineStr">
        <is>
          <t>Calculation</t>
        </is>
      </c>
      <c r="C47" s="25" t="n"/>
      <c r="D47" s="25" t="n"/>
      <c r="E47" s="25" t="n"/>
      <c r="F47" s="25" t="n"/>
      <c r="G47" s="25" t="n"/>
      <c r="H47" s="25" t="n"/>
      <c r="I47" s="25" t="n"/>
      <c r="J47" s="25" t="n"/>
      <c r="K47" s="26" t="n"/>
      <c r="L47" s="8" t="inlineStr">
        <is>
          <t>Amount</t>
        </is>
      </c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</row>
    <row r="48">
      <c r="B48" s="22" t="inlineStr">
        <is>
          <t>Gross Settlement</t>
        </is>
      </c>
      <c r="C48" s="25" t="n"/>
      <c r="D48" s="25" t="n"/>
      <c r="E48" s="25" t="n"/>
      <c r="F48" s="25" t="n"/>
      <c r="G48" s="25" t="n"/>
      <c r="H48" s="25" t="n"/>
      <c r="I48" s="25" t="n"/>
      <c r="J48" s="25" t="n"/>
      <c r="K48" s="26" t="n"/>
      <c r="L48" s="14">
        <f>L7</f>
        <v/>
      </c>
    </row>
    <row r="49">
      <c r="B49" s="22" t="inlineStr">
        <is>
          <t>Less: Attorney Fees</t>
        </is>
      </c>
      <c r="C49" s="25" t="n"/>
      <c r="D49" s="25" t="n"/>
      <c r="E49" s="25" t="n"/>
      <c r="F49" s="25" t="n"/>
      <c r="G49" s="25" t="n"/>
      <c r="H49" s="25" t="n"/>
      <c r="I49" s="25" t="n"/>
      <c r="J49" s="25" t="n"/>
      <c r="K49" s="26" t="n"/>
      <c r="L49" s="14">
        <f>-L11</f>
        <v/>
      </c>
    </row>
    <row r="50">
      <c r="B50" s="22" t="inlineStr">
        <is>
          <t>Less: Advanced Case Expenses</t>
        </is>
      </c>
      <c r="C50" s="25" t="n"/>
      <c r="D50" s="25" t="n"/>
      <c r="E50" s="25" t="n"/>
      <c r="F50" s="25" t="n"/>
      <c r="G50" s="25" t="n"/>
      <c r="H50" s="25" t="n"/>
      <c r="I50" s="25" t="n"/>
      <c r="J50" s="25" t="n"/>
      <c r="K50" s="26" t="n"/>
      <c r="L50" s="14">
        <f>-L20</f>
        <v/>
      </c>
    </row>
    <row r="51">
      <c r="B51" s="22" t="inlineStr">
        <is>
          <t>Less: Total Liens (Reduced)</t>
        </is>
      </c>
      <c r="C51" s="25" t="n"/>
      <c r="D51" s="25" t="n"/>
      <c r="E51" s="25" t="n"/>
      <c r="F51" s="25" t="n"/>
      <c r="G51" s="25" t="n"/>
      <c r="H51" s="25" t="n"/>
      <c r="I51" s="25" t="n"/>
      <c r="J51" s="25" t="n"/>
      <c r="K51" s="26" t="n"/>
      <c r="L51" s="14">
        <f>-L44</f>
        <v/>
      </c>
    </row>
    <row r="52">
      <c r="B52" s="28" t="inlineStr">
        <is>
          <t>NET CLIENT DISBURSEMENT</t>
        </is>
      </c>
      <c r="C52" s="25" t="n"/>
      <c r="D52" s="25" t="n"/>
      <c r="E52" s="25" t="n"/>
      <c r="F52" s="25" t="n"/>
      <c r="G52" s="25" t="n"/>
      <c r="H52" s="25" t="n"/>
      <c r="I52" s="25" t="n"/>
      <c r="J52" s="25" t="n"/>
      <c r="K52" s="26" t="n"/>
      <c r="L52" s="17">
        <f>SUM(L48:L51)</f>
        <v/>
      </c>
    </row>
  </sheetData>
  <mergeCells count="27">
    <mergeCell ref="C16:K16"/>
    <mergeCell ref="B49:K49"/>
    <mergeCell ref="C10:K10"/>
    <mergeCell ref="B46:L46"/>
    <mergeCell ref="B51:K51"/>
    <mergeCell ref="B20:K20"/>
    <mergeCell ref="C12:K12"/>
    <mergeCell ref="C11:K11"/>
    <mergeCell ref="B50:K50"/>
    <mergeCell ref="C17:K17"/>
    <mergeCell ref="B47:K47"/>
    <mergeCell ref="B23:L23"/>
    <mergeCell ref="C7:K7"/>
    <mergeCell ref="C19:K19"/>
    <mergeCell ref="B52:K52"/>
    <mergeCell ref="C13:K13"/>
    <mergeCell ref="B21:K21"/>
    <mergeCell ref="C18:K18"/>
    <mergeCell ref="B41:G41"/>
    <mergeCell ref="B48:K48"/>
    <mergeCell ref="B9:L9"/>
    <mergeCell ref="C6:K6"/>
    <mergeCell ref="C15:K15"/>
    <mergeCell ref="B44:H44"/>
    <mergeCell ref="C14:K14"/>
    <mergeCell ref="B5:L5"/>
    <mergeCell ref="B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2026-09-25T20:34:39Z</dcterms:created>
  <dcterms:modified xmlns:dcterms="http://purl.org/dc/terms/" xmlns:xsi="http://www.w3.org/2001/XMLSchema-instance" xsi:type="dcterms:W3CDTF">2026-10-15T17:05:53Z</dcterms:modified>
</cp:coreProperties>
</file>